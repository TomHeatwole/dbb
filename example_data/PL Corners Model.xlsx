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ram\Documents\"/>
    </mc:Choice>
  </mc:AlternateContent>
  <xr:revisionPtr revIDLastSave="0" documentId="8_{DB719ABE-D8D8-439E-874C-3E211D22BC4C}" xr6:coauthVersionLast="47" xr6:coauthVersionMax="47" xr10:uidLastSave="{00000000-0000-0000-0000-000000000000}"/>
  <bookViews>
    <workbookView xWindow="-28920" yWindow="-120" windowWidth="29040" windowHeight="15720" xr2:uid="{F383821B-3536-45B6-A7AD-59D33757768F}"/>
  </bookViews>
  <sheets>
    <sheet name="PL Corn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0" i="1" l="1"/>
  <c r="K56" i="1"/>
  <c r="K57" i="1" s="1"/>
  <c r="J56" i="1"/>
  <c r="J57" i="1" s="1"/>
  <c r="I56" i="1"/>
  <c r="I57" i="1" s="1"/>
  <c r="H56" i="1"/>
  <c r="H57" i="1" s="1"/>
  <c r="G56" i="1"/>
  <c r="G57" i="1" s="1"/>
  <c r="F56" i="1"/>
  <c r="F57" i="1" s="1"/>
  <c r="E56" i="1"/>
  <c r="E57" i="1" s="1"/>
  <c r="D56" i="1"/>
  <c r="D57" i="1" s="1"/>
  <c r="L43" i="1"/>
  <c r="K43" i="1"/>
  <c r="J43" i="1"/>
  <c r="I43" i="1"/>
  <c r="L42" i="1"/>
  <c r="K42" i="1"/>
  <c r="J42" i="1"/>
  <c r="I42" i="1"/>
  <c r="L40" i="1"/>
  <c r="K40" i="1"/>
  <c r="J40" i="1"/>
  <c r="I40" i="1"/>
  <c r="L39" i="1"/>
  <c r="K39" i="1"/>
  <c r="J39" i="1"/>
  <c r="I39" i="1"/>
  <c r="L37" i="1"/>
  <c r="K37" i="1"/>
  <c r="J37" i="1"/>
  <c r="I37" i="1"/>
  <c r="L36" i="1"/>
  <c r="K36" i="1"/>
  <c r="J36" i="1"/>
  <c r="I36" i="1"/>
  <c r="L34" i="1"/>
  <c r="K34" i="1"/>
  <c r="J34" i="1"/>
  <c r="I34" i="1"/>
  <c r="L33" i="1"/>
  <c r="K33" i="1"/>
  <c r="J33" i="1"/>
  <c r="I33" i="1"/>
  <c r="F32" i="1"/>
  <c r="E32" i="1"/>
  <c r="D32" i="1"/>
  <c r="C32" i="1"/>
  <c r="L31" i="1"/>
  <c r="K31" i="1"/>
  <c r="J31" i="1"/>
  <c r="I31" i="1"/>
  <c r="F31" i="1"/>
  <c r="E31" i="1"/>
  <c r="D31" i="1"/>
  <c r="C31" i="1"/>
  <c r="L30" i="1"/>
  <c r="K30" i="1"/>
  <c r="J30" i="1"/>
  <c r="I30" i="1"/>
  <c r="F29" i="1"/>
  <c r="F9" i="1" s="1"/>
  <c r="E29" i="1"/>
  <c r="E9" i="1" s="1"/>
  <c r="D29" i="1"/>
  <c r="D9" i="1" s="1"/>
  <c r="C29" i="1"/>
  <c r="C9" i="1" s="1"/>
  <c r="L28" i="1"/>
  <c r="L8" i="1" s="1"/>
  <c r="K28" i="1"/>
  <c r="K8" i="1" s="1"/>
  <c r="J28" i="1"/>
  <c r="J8" i="1" s="1"/>
  <c r="I28" i="1"/>
  <c r="I8" i="1" s="1"/>
  <c r="F28" i="1"/>
  <c r="F8" i="1" s="1"/>
  <c r="E28" i="1"/>
  <c r="E8" i="1" s="1"/>
  <c r="D28" i="1"/>
  <c r="D8" i="1" s="1"/>
  <c r="C28" i="1"/>
  <c r="C8" i="1" s="1"/>
  <c r="L27" i="1"/>
  <c r="L7" i="1" s="1"/>
  <c r="K27" i="1"/>
  <c r="K7" i="1" s="1"/>
  <c r="J27" i="1"/>
  <c r="J7" i="1" s="1"/>
  <c r="I27" i="1"/>
  <c r="I7" i="1" s="1"/>
  <c r="F27" i="1"/>
  <c r="F7" i="1" s="1"/>
  <c r="E27" i="1"/>
  <c r="E7" i="1" s="1"/>
  <c r="D27" i="1"/>
  <c r="D7" i="1" s="1"/>
  <c r="C27" i="1"/>
  <c r="C7" i="1" s="1"/>
  <c r="L23" i="1"/>
  <c r="K23" i="1"/>
  <c r="J23" i="1"/>
  <c r="I23" i="1"/>
  <c r="L22" i="1"/>
  <c r="K22" i="1"/>
  <c r="J22" i="1"/>
  <c r="I22" i="1"/>
  <c r="L20" i="1"/>
  <c r="K20" i="1"/>
  <c r="J20" i="1"/>
  <c r="I20" i="1"/>
  <c r="L19" i="1"/>
  <c r="K19" i="1"/>
  <c r="J19" i="1"/>
  <c r="I19" i="1"/>
  <c r="L17" i="1"/>
  <c r="K17" i="1"/>
  <c r="J17" i="1"/>
  <c r="I17" i="1"/>
  <c r="L16" i="1"/>
  <c r="K16" i="1"/>
  <c r="J16" i="1"/>
  <c r="I16" i="1"/>
  <c r="L14" i="1"/>
  <c r="K14" i="1"/>
  <c r="J14" i="1"/>
  <c r="I14" i="1"/>
  <c r="L13" i="1"/>
  <c r="K13" i="1"/>
  <c r="J13" i="1"/>
  <c r="I13" i="1"/>
  <c r="F12" i="1"/>
  <c r="E12" i="1"/>
  <c r="D12" i="1"/>
  <c r="C12" i="1"/>
  <c r="L11" i="1"/>
  <c r="K11" i="1"/>
  <c r="J11" i="1"/>
  <c r="I11" i="1"/>
  <c r="F11" i="1"/>
  <c r="E11" i="1"/>
  <c r="D11" i="1"/>
  <c r="C11" i="1"/>
  <c r="L10" i="1"/>
  <c r="K10" i="1"/>
  <c r="J10" i="1"/>
  <c r="I10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 l="1"/>
  <c r="E3" i="1"/>
  <c r="D3" i="1"/>
  <c r="C3" i="1"/>
  <c r="D33" i="1"/>
  <c r="D13" i="1" s="1"/>
  <c r="E33" i="1"/>
  <c r="E13" i="1" s="1"/>
  <c r="I41" i="1"/>
  <c r="I21" i="1" s="1"/>
  <c r="J41" i="1"/>
  <c r="J21" i="1" s="1"/>
  <c r="C33" i="1"/>
  <c r="C13" i="1" s="1"/>
  <c r="F33" i="1"/>
  <c r="F13" i="1" s="1"/>
  <c r="L41" i="1"/>
  <c r="L21" i="1" s="1"/>
  <c r="K41" i="1"/>
  <c r="K21" i="1" s="1"/>
  <c r="K38" i="1"/>
  <c r="K18" i="1" s="1"/>
  <c r="I38" i="1"/>
  <c r="I18" i="1" s="1"/>
  <c r="J38" i="1"/>
  <c r="J18" i="1" s="1"/>
  <c r="L38" i="1"/>
  <c r="L18" i="1" s="1"/>
  <c r="D30" i="1"/>
  <c r="D10" i="1" s="1"/>
  <c r="C30" i="1"/>
  <c r="C10" i="1" s="1"/>
  <c r="E30" i="1"/>
  <c r="E10" i="1" s="1"/>
  <c r="F30" i="1"/>
  <c r="F10" i="1" s="1"/>
  <c r="I35" i="1"/>
  <c r="I15" i="1" s="1"/>
  <c r="J35" i="1"/>
  <c r="J15" i="1" s="1"/>
  <c r="K35" i="1"/>
  <c r="K15" i="1" s="1"/>
  <c r="L35" i="1"/>
  <c r="L15" i="1" s="1"/>
  <c r="L32" i="1"/>
  <c r="L12" i="1" s="1"/>
  <c r="K32" i="1"/>
  <c r="K12" i="1" s="1"/>
  <c r="I32" i="1"/>
  <c r="I12" i="1" s="1"/>
  <c r="J32" i="1"/>
  <c r="J12" i="1" s="1"/>
  <c r="I29" i="1"/>
  <c r="I9" i="1" s="1"/>
  <c r="J29" i="1"/>
  <c r="J9" i="1" s="1"/>
  <c r="L29" i="1"/>
  <c r="L9" i="1" s="1"/>
  <c r="K29" i="1"/>
  <c r="K9" i="1" s="1"/>
  <c r="D26" i="1"/>
  <c r="D6" i="1" s="1"/>
  <c r="I26" i="1"/>
  <c r="I6" i="1" s="1"/>
  <c r="K26" i="1"/>
  <c r="K6" i="1" s="1"/>
  <c r="C26" i="1"/>
  <c r="C6" i="1" s="1"/>
  <c r="F26" i="1"/>
  <c r="F6" i="1" s="1"/>
  <c r="J26" i="1"/>
  <c r="J6" i="1" s="1"/>
  <c r="L26" i="1"/>
  <c r="L6" i="1" s="1"/>
  <c r="E26" i="1"/>
  <c r="E6" i="1" s="1"/>
</calcChain>
</file>

<file path=xl/sharedStrings.xml><?xml version="1.0" encoding="utf-8"?>
<sst xmlns="http://schemas.openxmlformats.org/spreadsheetml/2006/main" count="115" uniqueCount="55">
  <si>
    <t>Expected Number of Corners in Rest of Game:</t>
  </si>
  <si>
    <t>Default Values</t>
  </si>
  <si>
    <t>Minute</t>
  </si>
  <si>
    <t>Corners Remaining</t>
  </si>
  <si>
    <t>Breakeven Odds Assuming NO Clustering:</t>
  </si>
  <si>
    <t>Next 10 Min Market</t>
  </si>
  <si>
    <t>P(1+ corner)</t>
  </si>
  <si>
    <t>P(2+)</t>
  </si>
  <si>
    <t>P(3+)</t>
  </si>
  <si>
    <t>P(4+)</t>
  </si>
  <si>
    <t>Next 5 Min Market</t>
  </si>
  <si>
    <t>P(1+)</t>
  </si>
  <si>
    <t>0-9:59</t>
  </si>
  <si>
    <t>0-4:49</t>
  </si>
  <si>
    <t>10-19:59</t>
  </si>
  <si>
    <t>5-9:59</t>
  </si>
  <si>
    <t>20-29:59</t>
  </si>
  <si>
    <t>10-14:59</t>
  </si>
  <si>
    <t>30-39:59</t>
  </si>
  <si>
    <t>15-19:59</t>
  </si>
  <si>
    <t>45-54:59</t>
  </si>
  <si>
    <t>20-24:59</t>
  </si>
  <si>
    <t>55-64:49</t>
  </si>
  <si>
    <t>25-29:59</t>
  </si>
  <si>
    <t>65-74:49</t>
  </si>
  <si>
    <t>30-34:59</t>
  </si>
  <si>
    <t>75-84:49</t>
  </si>
  <si>
    <t>35-39:59</t>
  </si>
  <si>
    <t>40-44:59</t>
  </si>
  <si>
    <t>45-49:59</t>
  </si>
  <si>
    <t>50-54:59</t>
  </si>
  <si>
    <t>55-59:59</t>
  </si>
  <si>
    <t>60-64:59</t>
  </si>
  <si>
    <t>65-69:59</t>
  </si>
  <si>
    <t>70-74:59</t>
  </si>
  <si>
    <t>75-79:59</t>
  </si>
  <si>
    <t>80-84:59</t>
  </si>
  <si>
    <t>85-89:59</t>
  </si>
  <si>
    <t>Breakeven Odds Assuming NO Clustering</t>
  </si>
  <si>
    <t>Goal Concentration Data</t>
  </si>
  <si>
    <t>League</t>
  </si>
  <si>
    <t>Year</t>
  </si>
  <si>
    <t>Goals 1'-15'</t>
  </si>
  <si>
    <t>16'-30'</t>
  </si>
  <si>
    <t>31'-45'</t>
  </si>
  <si>
    <t>45'+</t>
  </si>
  <si>
    <t>46'-60'</t>
  </si>
  <si>
    <t>61'-75'</t>
  </si>
  <si>
    <t>76'-90'</t>
  </si>
  <si>
    <t>90'+</t>
  </si>
  <si>
    <t>Premier League</t>
  </si>
  <si>
    <t>Goal Concentration</t>
  </si>
  <si>
    <t>Remaining Goal Concentration</t>
  </si>
  <si>
    <t>Corner Data</t>
  </si>
  <si>
    <t>Corners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</si>
</sst>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1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7468-F87D-4D0B-A416-C9A18264D2EA}">
  <dimension ref="A1:T70"/>
  <sheetViews>
    <sheetView tabSelected="1" workbookViewId="0">
      <selection activeCell="A11" sqref="A11"/>
    </sheetView>
  </sheetViews>
  <sheetFormatPr defaultRowHeight="15" x14ac:dyDescent="0.25"/>
  <cols>
    <col min="1" max="1" width="43.28515625" customWidth="1"/>
    <col min="2" max="2" width="29.42578125" customWidth="1"/>
    <col min="3" max="3" width="18.5703125" customWidth="1"/>
    <col min="4" max="4" width="12.42578125" customWidth="1"/>
    <col min="5" max="6" width="11.5703125" bestFit="1" customWidth="1"/>
    <col min="8" max="8" width="24.42578125" customWidth="1"/>
    <col min="9" max="9" width="7.85546875" customWidth="1"/>
  </cols>
  <sheetData>
    <row r="1" spans="1:20" ht="15.75" thickBot="1" x14ac:dyDescent="0.3">
      <c r="A1" s="1" t="s">
        <v>0</v>
      </c>
      <c r="B1" s="2">
        <v>10.33</v>
      </c>
    </row>
    <row r="2" spans="1:20" x14ac:dyDescent="0.25">
      <c r="A2" s="3" t="s">
        <v>1</v>
      </c>
      <c r="B2" t="s">
        <v>2</v>
      </c>
      <c r="C2">
        <v>0</v>
      </c>
      <c r="D2">
        <v>5</v>
      </c>
      <c r="E2">
        <v>10</v>
      </c>
      <c r="F2">
        <v>15</v>
      </c>
      <c r="G2">
        <v>20</v>
      </c>
      <c r="H2">
        <v>25</v>
      </c>
      <c r="I2">
        <v>30</v>
      </c>
      <c r="J2">
        <v>35</v>
      </c>
      <c r="K2">
        <v>40</v>
      </c>
      <c r="L2">
        <v>45</v>
      </c>
      <c r="M2">
        <v>50</v>
      </c>
      <c r="N2">
        <v>55</v>
      </c>
      <c r="O2">
        <v>60</v>
      </c>
      <c r="P2">
        <v>65</v>
      </c>
      <c r="Q2">
        <v>70</v>
      </c>
      <c r="R2">
        <v>75</v>
      </c>
      <c r="S2">
        <v>80</v>
      </c>
      <c r="T2">
        <v>85</v>
      </c>
    </row>
    <row r="3" spans="1:20" x14ac:dyDescent="0.25">
      <c r="A3" s="1"/>
      <c r="B3" t="s">
        <v>3</v>
      </c>
      <c r="C3">
        <f>D70*SUM(D56:$K56)</f>
        <v>10.334431578947369</v>
      </c>
      <c r="D3">
        <f>D70*(SUM(D56:$K56)-((1/3)*D56))</f>
        <v>9.899553428405321</v>
      </c>
      <c r="E3">
        <f>D70*(SUM(D56:$K56)-((2/3)*D56))</f>
        <v>9.4646752778632752</v>
      </c>
      <c r="F3">
        <f>D70*SUM(E56:$K56)</f>
        <v>9.0297971273212276</v>
      </c>
      <c r="G3">
        <f>D70*(SUM(E56:$K56)-((1/3)*E56))</f>
        <v>8.5405592079614241</v>
      </c>
      <c r="H3">
        <f>D70*(SUM(E56:$K56)-((2/3)*E56))</f>
        <v>8.0513212886016206</v>
      </c>
      <c r="I3">
        <f>D70*SUM(F56:$K56)</f>
        <v>7.562083369241817</v>
      </c>
      <c r="J3">
        <f>D70*(SUM(F56:$K56)-((1/3)*F56))</f>
        <v>7.0536596491228059</v>
      </c>
      <c r="K3">
        <f>D70*(SUM(F56:$K56)-((2/3)*F56))</f>
        <v>6.5452359290037956</v>
      </c>
      <c r="L3">
        <f>D70*SUM(H56:$K56)</f>
        <v>5.7336765568893</v>
      </c>
      <c r="M3">
        <f>D70*(SUM(H56:$K56)-((1/3)*H56))</f>
        <v>5.1852824185219388</v>
      </c>
      <c r="N3">
        <f>D70*(SUM(H56:$K56)-((2/3)*H56))</f>
        <v>4.6368882801545777</v>
      </c>
      <c r="O3">
        <f>D70*SUM(I56:$K56)</f>
        <v>4.0884941417872165</v>
      </c>
      <c r="P3">
        <f>D70*(SUM(I56:$K56)-((1/3)*I56))</f>
        <v>3.5113213022810434</v>
      </c>
      <c r="Q3">
        <f>D70*(SUM(I56:$K56)-((2/3)*I56))</f>
        <v>2.9341484627748708</v>
      </c>
      <c r="R3">
        <f>D70*SUM(J56:$K56)</f>
        <v>2.3569756232686978</v>
      </c>
      <c r="S3">
        <f>D70*(SUM(J56:$K56)-((1/3)*J56))</f>
        <v>1.7929130809479839</v>
      </c>
      <c r="T3">
        <f>D70*(SUM(J56:$K56)-((2/3)*J56))</f>
        <v>1.2288505386272699</v>
      </c>
    </row>
    <row r="4" spans="1:20" x14ac:dyDescent="0.25">
      <c r="A4" s="1"/>
      <c r="B4" s="1"/>
    </row>
    <row r="5" spans="1:20" x14ac:dyDescent="0.25">
      <c r="A5" s="1" t="s">
        <v>4</v>
      </c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H5" s="5" t="s">
        <v>10</v>
      </c>
      <c r="I5" s="5" t="s">
        <v>11</v>
      </c>
      <c r="J5" s="5" t="s">
        <v>7</v>
      </c>
      <c r="K5" s="5" t="s">
        <v>8</v>
      </c>
      <c r="L5" s="5" t="s">
        <v>9</v>
      </c>
    </row>
    <row r="6" spans="1:20" x14ac:dyDescent="0.25">
      <c r="B6" s="6" t="s">
        <v>12</v>
      </c>
      <c r="C6" s="5">
        <f>IF(C26&gt;=0.5, -100 / (1/C26 - 1), (100 / C26) - 100)</f>
        <v>-138.54393826063648</v>
      </c>
      <c r="D6" s="5">
        <f t="shared" ref="D6:F6" si="0">IF(D26&gt;=0.5, -100 / (1/D26 - 1), (100 / D26) - 100)</f>
        <v>362.24424519739921</v>
      </c>
      <c r="E6" s="5">
        <f t="shared" si="0"/>
        <v>1626.79795502145</v>
      </c>
      <c r="F6" s="5">
        <f t="shared" si="0"/>
        <v>8233.3929592840705</v>
      </c>
      <c r="H6" t="s">
        <v>13</v>
      </c>
      <c r="I6">
        <f>IF(I26&gt;=0.5, -100 / (1/I26 - 1), (100 / I26) - 100)</f>
        <v>183.6591915830507</v>
      </c>
      <c r="J6">
        <f t="shared" ref="J6:L6" si="1">IF(J26&gt;=0.5, -100 / (1/J26 - 1), (100 / J26) - 100)</f>
        <v>1306.6991463269114</v>
      </c>
      <c r="K6">
        <f t="shared" si="1"/>
        <v>9983.6917959197326</v>
      </c>
      <c r="L6">
        <f t="shared" si="1"/>
        <v>94827.419472516151</v>
      </c>
    </row>
    <row r="7" spans="1:20" x14ac:dyDescent="0.25">
      <c r="B7" s="7" t="s">
        <v>14</v>
      </c>
      <c r="C7" s="5">
        <f t="shared" ref="C7:F13" si="2">IF(C27&gt;=0.5, -100 / (1/C27 - 1), (100 / C27) - 100)</f>
        <v>-174.1773627904781</v>
      </c>
      <c r="D7" s="5">
        <f t="shared" si="2"/>
        <v>273.96222369436833</v>
      </c>
      <c r="E7" s="5">
        <f t="shared" si="2"/>
        <v>1121.1355222536899</v>
      </c>
      <c r="F7" s="5">
        <f t="shared" si="2"/>
        <v>5022.8707643935413</v>
      </c>
      <c r="H7" t="s">
        <v>15</v>
      </c>
      <c r="I7">
        <f t="shared" ref="I7:L22" si="3">IF(I27&gt;=0.5, -100 / (1/I27 - 1), (100 / I27) - 100)</f>
        <v>174.13622124608878</v>
      </c>
      <c r="J7">
        <f t="shared" si="3"/>
        <v>1206.7048330502153</v>
      </c>
      <c r="K7">
        <f t="shared" si="3"/>
        <v>8888.4157130098538</v>
      </c>
      <c r="L7">
        <f t="shared" si="3"/>
        <v>81040.963853408102</v>
      </c>
    </row>
    <row r="8" spans="1:20" x14ac:dyDescent="0.25">
      <c r="B8" s="7" t="s">
        <v>16</v>
      </c>
      <c r="C8" s="5">
        <f t="shared" si="2"/>
        <v>-226.5747603873364</v>
      </c>
      <c r="D8" s="5">
        <f t="shared" si="2"/>
        <v>201.75290102956069</v>
      </c>
      <c r="E8" s="5">
        <f t="shared" si="2"/>
        <v>755.05072027892641</v>
      </c>
      <c r="F8" s="5">
        <f t="shared" si="2"/>
        <v>2990.7660150094025</v>
      </c>
      <c r="H8" t="s">
        <v>17</v>
      </c>
      <c r="I8">
        <f t="shared" si="3"/>
        <v>164.62757584094504</v>
      </c>
      <c r="J8">
        <f t="shared" si="3"/>
        <v>1110.4701513299335</v>
      </c>
      <c r="K8">
        <f t="shared" si="3"/>
        <v>7875.9268272992394</v>
      </c>
      <c r="L8">
        <f t="shared" si="3"/>
        <v>68817.285176271442</v>
      </c>
    </row>
    <row r="9" spans="1:20" x14ac:dyDescent="0.25">
      <c r="B9" s="7" t="s">
        <v>18</v>
      </c>
      <c r="C9" s="5">
        <f t="shared" si="2"/>
        <v>-301.09964659410844</v>
      </c>
      <c r="D9" s="5">
        <f t="shared" si="2"/>
        <v>147.29367417504486</v>
      </c>
      <c r="E9" s="5">
        <f t="shared" si="2"/>
        <v>510.27778323972041</v>
      </c>
      <c r="F9" s="5">
        <f t="shared" si="2"/>
        <v>1804.8733629637936</v>
      </c>
      <c r="H9" t="s">
        <v>19</v>
      </c>
      <c r="I9">
        <f t="shared" si="3"/>
        <v>133.31229592776597</v>
      </c>
      <c r="J9">
        <f t="shared" si="3"/>
        <v>819.01117347043612</v>
      </c>
      <c r="K9">
        <f t="shared" si="3"/>
        <v>5076.0006512942346</v>
      </c>
      <c r="L9">
        <f t="shared" si="3"/>
        <v>38008.573750931973</v>
      </c>
    </row>
    <row r="10" spans="1:20" x14ac:dyDescent="0.25">
      <c r="B10" s="7" t="s">
        <v>20</v>
      </c>
      <c r="C10" s="5">
        <f t="shared" si="2"/>
        <v>-621.39280424195238</v>
      </c>
      <c r="D10" s="5">
        <f t="shared" si="2"/>
        <v>-142.40238766750778</v>
      </c>
      <c r="E10" s="5">
        <f t="shared" si="2"/>
        <v>215.62519584028917</v>
      </c>
      <c r="F10" s="5">
        <f t="shared" si="2"/>
        <v>621.63386599520709</v>
      </c>
      <c r="H10" t="s">
        <v>21</v>
      </c>
      <c r="I10">
        <f t="shared" si="3"/>
        <v>123.89455712021297</v>
      </c>
      <c r="J10">
        <f t="shared" si="3"/>
        <v>738.99332680828718</v>
      </c>
      <c r="K10">
        <f t="shared" si="3"/>
        <v>4382.777017343903</v>
      </c>
      <c r="L10">
        <f t="shared" si="3"/>
        <v>31173.071895233854</v>
      </c>
    </row>
    <row r="11" spans="1:20" x14ac:dyDescent="0.25">
      <c r="B11" s="7" t="s">
        <v>22</v>
      </c>
      <c r="C11" s="5">
        <f t="shared" si="2"/>
        <v>-1127.4496064886082</v>
      </c>
      <c r="D11" s="5">
        <f t="shared" si="2"/>
        <v>-249.94763821926762</v>
      </c>
      <c r="E11" s="5">
        <f t="shared" si="2"/>
        <v>118.28563347446189</v>
      </c>
      <c r="F11" s="5">
        <f t="shared" si="2"/>
        <v>309.78007062645429</v>
      </c>
      <c r="H11" t="s">
        <v>23</v>
      </c>
      <c r="I11">
        <f t="shared" si="3"/>
        <v>114.50816899740377</v>
      </c>
      <c r="J11">
        <f t="shared" si="3"/>
        <v>662.74906568343602</v>
      </c>
      <c r="K11">
        <f t="shared" si="3"/>
        <v>3755.0188965777793</v>
      </c>
      <c r="L11">
        <f t="shared" si="3"/>
        <v>25305.007971715888</v>
      </c>
    </row>
    <row r="12" spans="1:20" x14ac:dyDescent="0.25">
      <c r="B12" s="7" t="s">
        <v>24</v>
      </c>
      <c r="C12" s="5">
        <f t="shared" si="2"/>
        <v>-2884.4004706594651</v>
      </c>
      <c r="D12" s="5">
        <f t="shared" si="2"/>
        <v>-578.89248219603337</v>
      </c>
      <c r="E12" s="5">
        <f t="shared" si="2"/>
        <v>-193.67263763866276</v>
      </c>
      <c r="F12" s="5">
        <f t="shared" si="2"/>
        <v>126.87838927777312</v>
      </c>
      <c r="H12" t="s">
        <v>25</v>
      </c>
      <c r="I12">
        <f t="shared" si="3"/>
        <v>-100.27472296675596</v>
      </c>
      <c r="J12">
        <f t="shared" si="3"/>
        <v>549.76292837198173</v>
      </c>
      <c r="K12">
        <f t="shared" si="3"/>
        <v>2887.0143409286975</v>
      </c>
      <c r="L12">
        <f t="shared" si="3"/>
        <v>17759.428045612298</v>
      </c>
    </row>
    <row r="13" spans="1:20" x14ac:dyDescent="0.25">
      <c r="B13" s="7" t="s">
        <v>26</v>
      </c>
      <c r="C13" s="5">
        <f t="shared" si="2"/>
        <v>-13936.883643960924</v>
      </c>
      <c r="D13" s="5">
        <f t="shared" si="2"/>
        <v>-2261.4128175410269</v>
      </c>
      <c r="E13" s="5">
        <f t="shared" si="2"/>
        <v>-672.65007681389</v>
      </c>
      <c r="F13" s="5">
        <f t="shared" si="2"/>
        <v>-266.38652773727642</v>
      </c>
      <c r="H13" t="s">
        <v>27</v>
      </c>
      <c r="I13">
        <f t="shared" si="3"/>
        <v>-110.55578488526146</v>
      </c>
      <c r="J13">
        <f t="shared" si="3"/>
        <v>483.29352939930823</v>
      </c>
      <c r="K13">
        <f t="shared" si="3"/>
        <v>2413.2770544462091</v>
      </c>
      <c r="L13">
        <f t="shared" si="3"/>
        <v>13957.529769931412</v>
      </c>
    </row>
    <row r="14" spans="1:20" x14ac:dyDescent="0.25">
      <c r="B14" s="7"/>
      <c r="C14" s="5"/>
      <c r="D14" s="5"/>
      <c r="E14" s="5"/>
      <c r="F14" s="5"/>
      <c r="H14" t="s">
        <v>28</v>
      </c>
      <c r="I14">
        <f t="shared" si="3"/>
        <v>-123.09294471325488</v>
      </c>
      <c r="J14">
        <f t="shared" si="3"/>
        <v>420.62342265584584</v>
      </c>
      <c r="K14">
        <f t="shared" si="3"/>
        <v>1993.3227978439409</v>
      </c>
      <c r="L14">
        <f t="shared" si="3"/>
        <v>10801.689317398366</v>
      </c>
    </row>
    <row r="15" spans="1:20" x14ac:dyDescent="0.25">
      <c r="B15" s="7"/>
      <c r="C15" s="5"/>
      <c r="D15" s="5"/>
      <c r="E15" s="5"/>
      <c r="F15" s="5"/>
      <c r="H15" t="s">
        <v>29</v>
      </c>
      <c r="I15">
        <f t="shared" si="3"/>
        <v>-168.58756565447189</v>
      </c>
      <c r="J15">
        <f t="shared" si="3"/>
        <v>284.86825228109183</v>
      </c>
      <c r="K15">
        <f t="shared" si="3"/>
        <v>1180.2678804723053</v>
      </c>
      <c r="L15">
        <f t="shared" si="3"/>
        <v>5375.9665141454943</v>
      </c>
    </row>
    <row r="16" spans="1:20" x14ac:dyDescent="0.25">
      <c r="B16" s="7"/>
      <c r="C16" s="5"/>
      <c r="D16" s="5"/>
      <c r="E16" s="5"/>
      <c r="F16" s="5"/>
      <c r="H16" t="s">
        <v>30</v>
      </c>
      <c r="I16">
        <f t="shared" si="3"/>
        <v>-198.17135438525904</v>
      </c>
      <c r="J16">
        <f t="shared" si="3"/>
        <v>235.31960471932325</v>
      </c>
      <c r="K16">
        <f t="shared" si="3"/>
        <v>919.60086949064134</v>
      </c>
      <c r="L16">
        <f t="shared" si="3"/>
        <v>3869.6004850417953</v>
      </c>
    </row>
    <row r="17" spans="1:12" x14ac:dyDescent="0.25">
      <c r="B17" s="7"/>
      <c r="C17" s="5"/>
      <c r="D17" s="5"/>
      <c r="E17" s="5"/>
      <c r="F17" s="5"/>
      <c r="H17" t="s">
        <v>31</v>
      </c>
      <c r="I17">
        <f t="shared" si="3"/>
        <v>-239.29691707500453</v>
      </c>
      <c r="J17">
        <f t="shared" si="3"/>
        <v>189.6844634320525</v>
      </c>
      <c r="K17">
        <f t="shared" si="3"/>
        <v>698.38000934243234</v>
      </c>
      <c r="L17">
        <f t="shared" si="3"/>
        <v>2702.4979173024863</v>
      </c>
    </row>
    <row r="18" spans="1:12" x14ac:dyDescent="0.25">
      <c r="B18" s="7"/>
      <c r="C18" s="5"/>
      <c r="D18" s="5"/>
      <c r="E18" s="5"/>
      <c r="F18" s="5"/>
      <c r="H18" t="s">
        <v>32</v>
      </c>
      <c r="I18">
        <f t="shared" si="3"/>
        <v>-329.8587184674393</v>
      </c>
      <c r="J18">
        <f t="shared" si="3"/>
        <v>133.58068620307085</v>
      </c>
      <c r="K18">
        <f t="shared" si="3"/>
        <v>453.22790136315029</v>
      </c>
      <c r="L18">
        <f t="shared" si="3"/>
        <v>1552.4382421019602</v>
      </c>
    </row>
    <row r="19" spans="1:12" x14ac:dyDescent="0.25">
      <c r="B19" s="7"/>
      <c r="C19" s="5"/>
      <c r="D19" s="5"/>
      <c r="E19" s="5"/>
      <c r="F19" s="5"/>
      <c r="H19" t="s">
        <v>33</v>
      </c>
      <c r="I19">
        <f t="shared" si="3"/>
        <v>-446.2966658016017</v>
      </c>
      <c r="J19">
        <f t="shared" si="3"/>
        <v>-102.48268660707123</v>
      </c>
      <c r="K19">
        <f t="shared" si="3"/>
        <v>312.80212310968994</v>
      </c>
      <c r="L19">
        <f t="shared" si="3"/>
        <v>976.55036268902313</v>
      </c>
    </row>
    <row r="20" spans="1:12" x14ac:dyDescent="0.25">
      <c r="B20" s="7"/>
      <c r="C20" s="5"/>
      <c r="D20" s="5"/>
      <c r="E20" s="5"/>
      <c r="F20" s="5"/>
      <c r="H20" t="s">
        <v>34</v>
      </c>
      <c r="I20">
        <f t="shared" si="3"/>
        <v>-662.93447358333935</v>
      </c>
      <c r="J20">
        <f t="shared" si="3"/>
        <v>-151.62730210468175</v>
      </c>
      <c r="K20">
        <f t="shared" si="3"/>
        <v>201.21857410670043</v>
      </c>
      <c r="L20">
        <f t="shared" si="3"/>
        <v>572.50895711027999</v>
      </c>
    </row>
    <row r="21" spans="1:12" x14ac:dyDescent="0.25">
      <c r="B21" s="7"/>
      <c r="C21" s="5"/>
      <c r="D21" s="5"/>
      <c r="E21" s="5"/>
      <c r="F21" s="5"/>
      <c r="H21" t="s">
        <v>35</v>
      </c>
      <c r="I21">
        <f t="shared" si="3"/>
        <v>-1084.7735498381503</v>
      </c>
      <c r="J21">
        <f t="shared" si="3"/>
        <v>-241.22318169324456</v>
      </c>
      <c r="K21">
        <f t="shared" si="3"/>
        <v>122.70729220110903</v>
      </c>
      <c r="L21">
        <f t="shared" si="3"/>
        <v>322.86039037538586</v>
      </c>
    </row>
    <row r="22" spans="1:12" x14ac:dyDescent="0.25">
      <c r="B22" s="7"/>
      <c r="C22" s="5"/>
      <c r="D22" s="5"/>
      <c r="E22" s="5"/>
      <c r="F22" s="5"/>
      <c r="H22" t="s">
        <v>36</v>
      </c>
      <c r="I22">
        <f t="shared" si="3"/>
        <v>-2478.7442288982302</v>
      </c>
      <c r="J22">
        <f t="shared" si="3"/>
        <v>-506.77938973123469</v>
      </c>
      <c r="K22">
        <f t="shared" si="3"/>
        <v>-170.57032730459014</v>
      </c>
      <c r="L22">
        <f t="shared" si="3"/>
        <v>144.75764012409957</v>
      </c>
    </row>
    <row r="23" spans="1:12" x14ac:dyDescent="0.25">
      <c r="B23" s="7"/>
      <c r="C23" s="5"/>
      <c r="D23" s="5"/>
      <c r="E23" s="5"/>
      <c r="F23" s="5"/>
      <c r="H23" t="s">
        <v>37</v>
      </c>
      <c r="I23">
        <f t="shared" ref="I23:L23" si="4">IF(I43&gt;=0.5, -100 / (1/I43 - 1), (100 / I43) - 100)</f>
        <v>-11362.19525842292</v>
      </c>
      <c r="J23">
        <f t="shared" si="4"/>
        <v>-1896.3279772835751</v>
      </c>
      <c r="K23">
        <f t="shared" si="4"/>
        <v>-574.91330921343558</v>
      </c>
      <c r="L23">
        <f t="shared" si="4"/>
        <v>-229.8374968049477</v>
      </c>
    </row>
    <row r="25" spans="1:12" ht="14.25" customHeight="1" x14ac:dyDescent="0.25">
      <c r="A25" t="s">
        <v>38</v>
      </c>
      <c r="B25" s="4" t="s">
        <v>5</v>
      </c>
      <c r="C25" s="5" t="s">
        <v>6</v>
      </c>
      <c r="D25" s="5" t="s">
        <v>7</v>
      </c>
      <c r="E25" s="5" t="s">
        <v>8</v>
      </c>
      <c r="F25" s="5" t="s">
        <v>9</v>
      </c>
      <c r="H25" s="5" t="s">
        <v>10</v>
      </c>
      <c r="I25" s="5" t="s">
        <v>11</v>
      </c>
      <c r="J25" s="5" t="s">
        <v>7</v>
      </c>
      <c r="K25" s="5" t="s">
        <v>8</v>
      </c>
      <c r="L25" s="5" t="s">
        <v>9</v>
      </c>
    </row>
    <row r="26" spans="1:12" x14ac:dyDescent="0.25">
      <c r="B26" s="6" t="s">
        <v>12</v>
      </c>
      <c r="C26" s="8">
        <f>1-_xlfn.POISSON.DIST(0,$B$1*(($D$57)*(2/3)),TRUE)</f>
        <v>0.58079001827018306</v>
      </c>
      <c r="D26" s="8">
        <f>1-_xlfn.POISSON.DIST(1,$B$1*(($D$57)*(2/3)),TRUE)</f>
        <v>0.21633584633875858</v>
      </c>
      <c r="E26" s="8">
        <f>1-_xlfn.POISSON.DIST(2,$B$1*(($D$57)*(2/3)),TRUE)</f>
        <v>5.791065463634848E-2</v>
      </c>
      <c r="F26" s="8">
        <f>1-_xlfn.POISSON.DIST(3,$B$1*(($D$57)*(2/3)),TRUE)</f>
        <v>1.1999914139245282E-2</v>
      </c>
      <c r="H26" t="s">
        <v>13</v>
      </c>
      <c r="I26" s="9">
        <f>1-_xlfn.POISSON.DIST(0,$B$1*(($D$57)*(1/3)),TRUE)</f>
        <v>0.35253572937974642</v>
      </c>
      <c r="J26" s="9">
        <f>1-_xlfn.POISSON.DIST(1,$B$1*(($D$57)*(1/3)),TRUE)</f>
        <v>7.108840597587196E-2</v>
      </c>
      <c r="K26" s="9">
        <f>1-_xlfn.POISSON.DIST(2,$B$1*(($D$57)*(1/3)),TRUE)</f>
        <v>9.9170028223655171E-3</v>
      </c>
      <c r="L26" s="9">
        <f>1-_xlfn.POISSON.DIST(3,$B$1*(($D$57)*(1/3)),TRUE)</f>
        <v>1.0534364102139371E-3</v>
      </c>
    </row>
    <row r="27" spans="1:12" x14ac:dyDescent="0.25">
      <c r="B27" s="7" t="s">
        <v>14</v>
      </c>
      <c r="C27" s="8">
        <f>1-_xlfn.POISSON.DIST(0,$B$1*((((1/3)*$D$56)+((1/3)*$E$56))/(((1/3)*$D$56)+SUM($E$56:$K$56))),TRUE)</f>
        <v>0.6352725878524903</v>
      </c>
      <c r="D27" s="8">
        <f>1-_xlfn.POISSON.DIST(1,$B$1*((((1/3)*$D$56)+((1/3)*$E$56))/(((1/3)*$D$56)+SUM($E$56:$K$56))),TRUE)</f>
        <v>0.26740668886846697</v>
      </c>
      <c r="E27" s="8">
        <f>1-_xlfn.POISSON.DIST(2,$B$1*((((1/3)*$D$56)+((1/3)*$E$56))/(((1/3)*$D$56)+SUM($E$56:$K$56))),TRUE)</f>
        <v>8.1890992586509226E-2</v>
      </c>
      <c r="F27" s="8">
        <f>1-_xlfn.POISSON.DIST(3,$B$1*((((1/3)*$D$56)+((1/3)*$E$56))/(((1/3)*$D$56)+SUM($E$56:$K$56))),TRUE)</f>
        <v>1.9520305039715025E-2</v>
      </c>
      <c r="H27" t="s">
        <v>15</v>
      </c>
      <c r="I27" s="9">
        <f>1-_xlfn.POISSON.DIST(0,$B$1*((($D$56)*(1/3))/((($D$56)*(2/3))+SUM($E$56:$K$56))),TRUE)</f>
        <v>0.36478214934695263</v>
      </c>
      <c r="J27" s="9">
        <f>1-_xlfn.POISSON.DIST(1,$B$1*((($D$56)*(1/3))/((($D$56)*(2/3))+SUM($E$56:$K$56))),TRUE)</f>
        <v>7.6528376930061537E-2</v>
      </c>
      <c r="K27" s="9">
        <f>1-_xlfn.POISSON.DIST(2,$B$1*((($D$56)*(1/3))/((($D$56)*(2/3))+SUM($E$56:$K$56))),TRUE)</f>
        <v>1.1125431131902341E-2</v>
      </c>
      <c r="L27" s="9">
        <f>1-_xlfn.POISSON.DIST(3,$B$1*((($D$56)*(1/3))/((($D$56)*(2/3))+SUM($E$56:$K$56))),TRUE)</f>
        <v>1.2324231220701698E-3</v>
      </c>
    </row>
    <row r="28" spans="1:12" x14ac:dyDescent="0.25">
      <c r="B28" s="7" t="s">
        <v>16</v>
      </c>
      <c r="C28" s="8">
        <f>1-_xlfn.POISSON.DIST(0,$B$1*((($E$56)*(2/3))/((($E$56)*(2/3))+SUM($F$56:$K$56))),TRUE)</f>
        <v>0.69379140053139976</v>
      </c>
      <c r="D28" s="8">
        <f>1-_xlfn.POISSON.DIST(1,$B$1*((($E$56)*(2/3))/((($E$56)*(2/3))+SUM($F$56:$K$56))),TRUE)</f>
        <v>0.33139697964396264</v>
      </c>
      <c r="E28" s="8">
        <f>1-_xlfn.POISSON.DIST(2,$B$1*((($E$56)*(2/3))/((($E$56)*(2/3))+SUM($F$56:$K$56))),TRUE)</f>
        <v>0.11695212649768771</v>
      </c>
      <c r="F28" s="8">
        <f>1-_xlfn.POISSON.DIST(3,$B$1*((($E$56)*(2/3))/((($E$56)*(2/3))+SUM($F$56:$K$56))),TRUE)</f>
        <v>3.2354438839556021E-2</v>
      </c>
      <c r="H28" t="s">
        <v>17</v>
      </c>
      <c r="I28" s="9">
        <f>1-_xlfn.POISSON.DIST(0,$B$1*((($D$56)*(1/3))/((($D$56)*(1/3))+SUM($E$56:$K$56))),TRUE)</f>
        <v>0.3778895668080533</v>
      </c>
      <c r="J28" s="9">
        <f>1-_xlfn.POISSON.DIST(1,$B$1*((($D$56)*(1/3))/((($D$56)*(1/3))+SUM($E$56:$K$56))),TRUE)</f>
        <v>8.2612528603147162E-2</v>
      </c>
      <c r="K28" s="9">
        <f>1-_xlfn.POISSON.DIST(2,$B$1*((($D$56)*(1/3))/((($D$56)*(1/3))+SUM($E$56:$K$56))),TRUE)</f>
        <v>1.2537727861009151E-2</v>
      </c>
      <c r="L28" s="9">
        <f>1-_xlfn.POISSON.DIST(3,$B$1*((($D$56)*(1/3))/((($D$56)*(1/3))+SUM($E$56:$K$56))),TRUE)</f>
        <v>1.4510147888766589E-3</v>
      </c>
    </row>
    <row r="29" spans="1:12" x14ac:dyDescent="0.25">
      <c r="B29" s="7" t="s">
        <v>18</v>
      </c>
      <c r="C29" s="8">
        <f>1-_xlfn.POISSON.DIST(0,$B$1*((($F$56)*(2/3))/(SUM($F$56:$K$56))),TRUE)</f>
        <v>0.75068539489092423</v>
      </c>
      <c r="D29" s="8">
        <f>1-_xlfn.POISSON.DIST(1,$B$1*((($F$56)*(2/3))/(SUM($F$56:$K$56))),TRUE)</f>
        <v>0.40437750918454873</v>
      </c>
      <c r="E29" s="8">
        <f>1-_xlfn.POISSON.DIST(2,$B$1*((($F$56)*(2/3))/(SUM($F$56:$K$56))),TRUE)</f>
        <v>0.16385980736368944</v>
      </c>
      <c r="F29" s="8">
        <f>1-_xlfn.POISSON.DIST(3,$B$1*((($F$56)*(2/3))/(SUM($F$56:$K$56))),TRUE)</f>
        <v>5.2496928113063612E-2</v>
      </c>
      <c r="H29" t="s">
        <v>19</v>
      </c>
      <c r="I29" s="9">
        <f>1-_xlfn.POISSON.DIST(0,$B$1*(($E$57)*(1/3)),TRUE)</f>
        <v>0.42861007218822378</v>
      </c>
      <c r="J29" s="9">
        <f>1-_xlfn.POISSON.DIST(1,$B$1*(($E$57)*(1/3)),TRUE)</f>
        <v>0.10881260520736957</v>
      </c>
      <c r="K29" s="9">
        <f>1-_xlfn.POISSON.DIST(2,$B$1*(($E$57)*(1/3)),TRUE)</f>
        <v>1.9319935745177208E-2</v>
      </c>
      <c r="L29" s="9">
        <f>1-_xlfn.POISSON.DIST(3,$B$1*(($E$57)*(1/3)),TRUE)</f>
        <v>2.624081411536805E-3</v>
      </c>
    </row>
    <row r="30" spans="1:12" x14ac:dyDescent="0.25">
      <c r="B30" s="7" t="s">
        <v>20</v>
      </c>
      <c r="C30" s="8">
        <f>1-_xlfn.POISSON.DIST(0,$B$1*(($H$57)*(2/3)),TRUE)</f>
        <v>0.86137926603650961</v>
      </c>
      <c r="D30" s="8">
        <f>1-_xlfn.POISSON.DIST(1,$B$1*(($H$57)*(2/3)),TRUE)</f>
        <v>0.58746280941272988</v>
      </c>
      <c r="E30" s="8">
        <f>1-_xlfn.POISSON.DIST(2,$B$1*(($H$57)*(2/3)),TRUE)</f>
        <v>0.31683148657942195</v>
      </c>
      <c r="F30" s="8">
        <f>1-_xlfn.POISSON.DIST(3,$B$1*(($H$57)*(2/3)),TRUE)</f>
        <v>0.13857442771493234</v>
      </c>
      <c r="H30" t="s">
        <v>21</v>
      </c>
      <c r="I30" s="9">
        <f>1-_xlfn.POISSON.DIST(0,$B$1*((($E$56)*(1/3))/((($E$56)*(2/3))+SUM($F$56:$K$56))),TRUE)</f>
        <v>0.44663881644209968</v>
      </c>
      <c r="J30" s="9">
        <f>1-_xlfn.POISSON.DIST(1,$B$1*((($E$56)*(1/3))/((($E$56)*(2/3))+SUM($F$56:$K$56))),TRUE)</f>
        <v>0.11919045933347494</v>
      </c>
      <c r="K30" s="9">
        <f>1-_xlfn.POISSON.DIST(2,$B$1*((($E$56)*(1/3))/((($E$56)*(2/3))+SUM($F$56:$K$56))),TRUE)</f>
        <v>2.2307600760220536E-2</v>
      </c>
      <c r="L30" s="9">
        <f>1-_xlfn.POISSON.DIST(3,$B$1*((($E$56)*(1/3))/((($E$56)*(2/3))+SUM($F$56:$K$56))),TRUE)</f>
        <v>3.197639180922307E-3</v>
      </c>
    </row>
    <row r="31" spans="1:12" x14ac:dyDescent="0.25">
      <c r="B31" s="7" t="s">
        <v>22</v>
      </c>
      <c r="C31" s="8">
        <f>1-_xlfn.POISSON.DIST(0,$B$1*((((1/3)*$H$56)+((1/3)*$I$56))/(((1/3)*$H$56)+SUM($I$56:$K$56))),TRUE)</f>
        <v>0.91853026024744744</v>
      </c>
      <c r="D31" s="8">
        <f>1-_xlfn.POISSON.DIST(1,$B$1*((((1/3)*$H$56)+((1/3)*$I$56))/(((1/3)*$H$56)+SUM($I$56:$K$56))),TRUE)</f>
        <v>0.71424296357918915</v>
      </c>
      <c r="E31" s="8">
        <f>1-_xlfn.POISSON.DIST(2,$B$1*((((1/3)*$H$56)+((1/3)*$I$56))/(((1/3)*$H$56)+SUM($I$56:$K$56))),TRUE)</f>
        <v>0.45811535284432447</v>
      </c>
      <c r="F31" s="8">
        <f>1-_xlfn.POISSON.DIST(3,$B$1*((((1/3)*$H$56)+((1/3)*$I$56))/(((1/3)*$H$56)+SUM($I$56:$K$56))),TRUE)</f>
        <v>0.24403334170723401</v>
      </c>
      <c r="H31" t="s">
        <v>23</v>
      </c>
      <c r="I31" s="9">
        <f>1-_xlfn.POISSON.DIST(0,$B$1*((($E$56)*(1/3))/((($E$56)*(1/3))+SUM($F$56:$K$56))),TRUE)</f>
        <v>0.4661827121428197</v>
      </c>
      <c r="J31" s="9">
        <f>1-_xlfn.POISSON.DIST(1,$B$1*((($E$56)*(1/3))/((($E$56)*(1/3))+SUM($F$56:$K$56))),TRUE)</f>
        <v>0.13110471647762467</v>
      </c>
      <c r="K31" s="9">
        <f>1-_xlfn.POISSON.DIST(2,$B$1*((($E$56)*(1/3))/((($E$56)*(1/3))+SUM($F$56:$K$56))),TRUE)</f>
        <v>2.5940210069728353E-2</v>
      </c>
      <c r="L31" s="9">
        <f>1-_xlfn.POISSON.DIST(3,$B$1*((($E$56)*(1/3))/((($E$56)*(1/3))+SUM($F$56:$K$56))),TRUE)</f>
        <v>3.9362317898633536E-3</v>
      </c>
    </row>
    <row r="32" spans="1:12" x14ac:dyDescent="0.25">
      <c r="B32" s="7" t="s">
        <v>24</v>
      </c>
      <c r="C32" s="8">
        <f>1-_xlfn.POISSON.DIST(0,$B$1*((($I$56)*(2/3))/((($I$56)*(2/3))+SUM($J$56:$K$56))),TRUE)</f>
        <v>0.96649243257293049</v>
      </c>
      <c r="D32" s="8">
        <f>1-_xlfn.POISSON.DIST(1,$B$1*((($I$56)*(2/3))/((($I$56)*(2/3))+SUM($J$56:$K$56))),TRUE)</f>
        <v>0.85270127063931089</v>
      </c>
      <c r="E32" s="8">
        <f>1-_xlfn.POISSON.DIST(2,$B$1*((($I$56)*(2/3))/((($I$56)*(2/3))+SUM($J$56:$K$56))),TRUE)</f>
        <v>0.65948478958042789</v>
      </c>
      <c r="F32" s="8">
        <f>1-_xlfn.POISSON.DIST(3,$B$1*((($I$56)*(2/3))/((($I$56)*(2/3))+SUM($J$56:$K$56))),TRUE)</f>
        <v>0.4407647652926846</v>
      </c>
      <c r="H32" t="s">
        <v>25</v>
      </c>
      <c r="I32" s="9">
        <f>1-_xlfn.POISSON.DIST(0,$B$1*(($F$57)*(1/3)),TRUE)</f>
        <v>0.50068586530213688</v>
      </c>
      <c r="J32" s="9">
        <f>1-_xlfn.POISSON.DIST(1,$B$1*(($F$57)*(1/3)),TRUE)</f>
        <v>0.15390228594690025</v>
      </c>
      <c r="K32" s="9">
        <f>1-_xlfn.POISSON.DIST(2,$B$1*(($F$57)*(1/3)),TRUE)</f>
        <v>3.3478245694966713E-2</v>
      </c>
      <c r="L32" s="9">
        <f>1-_xlfn.POISSON.DIST(3,$B$1*(($F$57)*(1/3)),TRUE)</f>
        <v>5.599283456592441E-3</v>
      </c>
    </row>
    <row r="33" spans="1:12" x14ac:dyDescent="0.25">
      <c r="B33" s="7" t="s">
        <v>26</v>
      </c>
      <c r="C33" s="8">
        <f>1-_xlfn.POISSON.DIST(0,$B$1*(($J$57)*(2/3)),TRUE)</f>
        <v>0.99287591159573207</v>
      </c>
      <c r="D33" s="8">
        <f>1-_xlfn.POISSON.DIST(1,$B$1*(($J$57)*(2/3)),TRUE)</f>
        <v>0.95765247005640819</v>
      </c>
      <c r="E33" s="8">
        <f>1-_xlfn.POISSON.DIST(2,$B$1*(($J$57)*(2/3)),TRUE)</f>
        <v>0.87057530569030506</v>
      </c>
      <c r="F33" s="8">
        <f>1-_xlfn.POISSON.DIST(3,$B$1*(($J$57)*(2/3)),TRUE)</f>
        <v>0.72706420015610762</v>
      </c>
      <c r="H33" t="s">
        <v>27</v>
      </c>
      <c r="I33" s="9">
        <f>1-_xlfn.POISSON.DIST(0,$B$1*((($F$56)*(1/3))/((($F$56)*(2/3))+SUM($G$56:$K$56))),TRUE)</f>
        <v>0.52506648034157233</v>
      </c>
      <c r="J33" s="9">
        <f>1-_xlfn.POISSON.DIST(1,$B$1*((($F$56)*(1/3))/((($F$56)*(2/3))+SUM($G$56:$K$56))),TRUE)</f>
        <v>0.17144026970945958</v>
      </c>
      <c r="K33" s="9">
        <f>1-_xlfn.POISSON.DIST(2,$B$1*((($F$56)*(1/3))/((($F$56)*(2/3))+SUM($G$56:$K$56))),TRUE)</f>
        <v>3.9788689361998975E-2</v>
      </c>
      <c r="L33" s="9">
        <f>1-_xlfn.POISSON.DIST(3,$B$1*((($F$56)*(1/3))/((($F$56)*(2/3))+SUM($G$56:$K$56))),TRUE)</f>
        <v>7.1136253407690919E-3</v>
      </c>
    </row>
    <row r="34" spans="1:12" x14ac:dyDescent="0.25">
      <c r="B34" s="7"/>
      <c r="C34" s="8"/>
      <c r="D34" s="8"/>
      <c r="E34" s="8"/>
      <c r="F34" s="8"/>
      <c r="H34" t="s">
        <v>28</v>
      </c>
      <c r="I34" s="9">
        <f>1-_xlfn.POISSON.DIST(0,$B$1*((($F$56)*(1/3))/((($F$56)*(1/3))+SUM($G$56:$K$56))),TRUE)</f>
        <v>0.55175633129711166</v>
      </c>
      <c r="J34" s="9">
        <f>1-_xlfn.POISSON.DIST(1,$B$1*((($F$56)*(1/3))/((($F$56)*(1/3))+SUM($G$56:$K$56))),TRUE)</f>
        <v>0.19207741267166201</v>
      </c>
      <c r="K34" s="9">
        <f>1-_xlfn.POISSON.DIST(2,$B$1*((($F$56)*(1/3))/((($F$56)*(1/3))+SUM($G$56:$K$56))),TRUE)</f>
        <v>4.7770941062217909E-2</v>
      </c>
      <c r="L34" s="9">
        <f>1-_xlfn.POISSON.DIST(3,$B$1*((($F$56)*(1/3))/((($F$56)*(1/3))+SUM($G$56:$K$56))),TRUE)</f>
        <v>9.1728902822800773E-3</v>
      </c>
    </row>
    <row r="35" spans="1:12" x14ac:dyDescent="0.25">
      <c r="B35" s="7"/>
      <c r="C35" s="8"/>
      <c r="D35" s="8"/>
      <c r="E35" s="8"/>
      <c r="F35" s="8"/>
      <c r="H35" t="s">
        <v>29</v>
      </c>
      <c r="I35" s="9">
        <f>1-_xlfn.POISSON.DIST(0,$B$1*(($H$57)*(1/3)),TRUE)</f>
        <v>0.62768194515509945</v>
      </c>
      <c r="J35" s="9">
        <f>1-_xlfn.POISSON.DIST(1,$B$1*(($H$57)*(1/3)),TRUE)</f>
        <v>0.25982917376870085</v>
      </c>
      <c r="K35" s="9">
        <f>1-_xlfn.POISSON.DIST(2,$B$1*(($H$57)*(1/3)),TRUE)</f>
        <v>7.8108653294581498E-2</v>
      </c>
      <c r="L35" s="9">
        <f>1-_xlfn.POISSON.DIST(3,$B$1*(($H$57)*(1/3)),TRUE)</f>
        <v>1.8261616418157489E-2</v>
      </c>
    </row>
    <row r="36" spans="1:12" x14ac:dyDescent="0.25">
      <c r="B36" s="7"/>
      <c r="C36" s="8"/>
      <c r="D36" s="8"/>
      <c r="E36" s="8"/>
      <c r="F36" s="8"/>
      <c r="H36" t="s">
        <v>30</v>
      </c>
      <c r="I36" s="9">
        <f>1-_xlfn.POISSON.DIST(0,$B$1*((($H$56)*(1/3))/((($H$56)*(2/3))+SUM($I$56:$K$56))),TRUE)</f>
        <v>0.66462237726970663</v>
      </c>
      <c r="J36" s="9">
        <f>1-_xlfn.POISSON.DIST(1,$B$1*((($H$56)*(1/3))/((($H$56)*(2/3))+SUM($I$56:$K$56))),TRUE)</f>
        <v>0.2982229448937358</v>
      </c>
      <c r="K36" s="9">
        <f>1-_xlfn.POISSON.DIST(2,$B$1*((($H$56)*(1/3))/((($H$56)*(2/3))+SUM($I$56:$K$56))),TRUE)</f>
        <v>9.8077593882355818E-2</v>
      </c>
      <c r="L36" s="9">
        <f>1-_xlfn.POISSON.DIST(3,$B$1*((($H$56)*(1/3))/((($H$56)*(2/3))+SUM($I$56:$K$56))),TRUE)</f>
        <v>2.5191451980323687E-2</v>
      </c>
    </row>
    <row r="37" spans="1:12" x14ac:dyDescent="0.25">
      <c r="B37" s="7"/>
      <c r="C37" s="8"/>
      <c r="D37" s="8"/>
      <c r="E37" s="8"/>
      <c r="F37" s="8"/>
      <c r="H37" t="s">
        <v>31</v>
      </c>
      <c r="I37" s="9">
        <f>1-_xlfn.POISSON.DIST(0,$B$1*((($H$56)*(1/3))/((($H$56)*(1/3))+SUM($I$56:$K$56))),TRUE)</f>
        <v>0.70527288941474786</v>
      </c>
      <c r="J37" s="9">
        <f>1-_xlfn.POISSON.DIST(1,$B$1*((($H$56)*(1/3))/((($H$56)*(1/3))+SUM($I$56:$K$56))),TRUE)</f>
        <v>0.34520318699610097</v>
      </c>
      <c r="K37" s="9">
        <f>1-_xlfn.POISSON.DIST(2,$B$1*((($H$56)*(1/3))/((($H$56)*(1/3))+SUM($I$56:$K$56))),TRUE)</f>
        <v>0.12525363715251681</v>
      </c>
      <c r="L37" s="9">
        <f>1-_xlfn.POISSON.DIST(3,$B$1*((($H$56)*(1/3))/((($H$56)*(1/3))+SUM($I$56:$K$56))),TRUE)</f>
        <v>3.5682452922660479E-2</v>
      </c>
    </row>
    <row r="38" spans="1:12" x14ac:dyDescent="0.25">
      <c r="B38" s="7"/>
      <c r="C38" s="8"/>
      <c r="D38" s="8"/>
      <c r="E38" s="8"/>
      <c r="F38" s="8"/>
      <c r="H38" t="s">
        <v>32</v>
      </c>
      <c r="I38" s="9">
        <f>1-_xlfn.POISSON.DIST(0,$B$1*(($I$57)*(1/3)),TRUE)</f>
        <v>0.76736542565304566</v>
      </c>
      <c r="J38" s="9">
        <f>1-_xlfn.POISSON.DIST(1,$B$1*(($I$57)*(1/3)),TRUE)</f>
        <v>0.42811758808286826</v>
      </c>
      <c r="K38" s="9">
        <f>1-_xlfn.POISSON.DIST(2,$B$1*(($I$57)*(1/3)),TRUE)</f>
        <v>0.18075733301520147</v>
      </c>
      <c r="L38" s="9">
        <f>1-_xlfn.POISSON.DIST(3,$B$1*(($I$57)*(1/3)),TRUE)</f>
        <v>6.0516633815492216E-2</v>
      </c>
    </row>
    <row r="39" spans="1:12" x14ac:dyDescent="0.25">
      <c r="B39" s="7"/>
      <c r="C39" s="8"/>
      <c r="D39" s="8"/>
      <c r="E39" s="8"/>
      <c r="F39" s="8"/>
      <c r="H39" t="s">
        <v>33</v>
      </c>
      <c r="I39" s="9">
        <f>1-_xlfn.POISSON.DIST(0,$B$1*((($I$56)*(1/3))/((($I$56)*(2/3))+SUM($J$56:$K$56))),TRUE)</f>
        <v>0.81694927635469594</v>
      </c>
      <c r="J39" s="9">
        <f>1-_xlfn.POISSON.DIST(1,$B$1*((($I$56)*(1/3))/((($I$56)*(2/3))+SUM($J$56:$K$56))),TRUE)</f>
        <v>0.50613061454456354</v>
      </c>
      <c r="K39" s="9">
        <f>1-_xlfn.POISSON.DIST(2,$B$1*((($I$56)*(1/3))/((($I$56)*(2/3))+SUM($J$56:$K$56))),TRUE)</f>
        <v>0.24224681609359833</v>
      </c>
      <c r="L39" s="9">
        <f>1-_xlfn.POISSON.DIST(3,$B$1*((($I$56)*(1/3))/((($I$56)*(2/3))+SUM($J$56:$K$56))),TRUE)</f>
        <v>9.2889291078049108E-2</v>
      </c>
    </row>
    <row r="40" spans="1:12" x14ac:dyDescent="0.25">
      <c r="B40" s="7"/>
      <c r="C40" s="8"/>
      <c r="D40" s="8"/>
      <c r="E40" s="8"/>
      <c r="F40" s="8"/>
      <c r="H40" t="s">
        <v>34</v>
      </c>
      <c r="I40" s="9">
        <f>1-_xlfn.POISSON.DIST(0,$B$1*((($I$56)*(1/3))/((($I$56)*(1/3))+SUM($J$56:$K$56))),TRUE)</f>
        <v>0.8689271445156731</v>
      </c>
      <c r="J40" s="9">
        <f>1-_xlfn.POISSON.DIST(1,$B$1*((($I$56)*(1/3))/((($I$56)*(1/3))+SUM($J$56:$K$56))),TRUE)</f>
        <v>0.60258684505388804</v>
      </c>
      <c r="K40" s="9">
        <f>1-_xlfn.POISSON.DIST(2,$B$1*((($I$56)*(1/3))/((($I$56)*(1/3))+SUM($J$56:$K$56))),TRUE)</f>
        <v>0.33198483956894731</v>
      </c>
      <c r="L40" s="9">
        <f>1-_xlfn.POISSON.DIST(3,$B$1*((($I$56)*(1/3))/((($I$56)*(1/3))+SUM($J$56:$K$56))),TRUE)</f>
        <v>0.14869690424599313</v>
      </c>
    </row>
    <row r="41" spans="1:12" x14ac:dyDescent="0.25">
      <c r="B41" s="7"/>
      <c r="C41" s="8"/>
      <c r="D41" s="8"/>
      <c r="E41" s="8"/>
      <c r="F41" s="8"/>
      <c r="H41" t="s">
        <v>35</v>
      </c>
      <c r="I41" s="9">
        <f>1-_xlfn.POISSON.DIST(0,$B$1*(($J$57)*(1/3)),TRUE)</f>
        <v>0.915595684919147</v>
      </c>
      <c r="J41" s="9">
        <f>1-_xlfn.POISSON.DIST(1,$B$1*(($J$57)*(1/3)),TRUE)</f>
        <v>0.70693667556883999</v>
      </c>
      <c r="K41" s="9">
        <f>1-_xlfn.POISSON.DIST(2,$B$1*(($J$57)*(1/3)),TRUE)</f>
        <v>0.44901987272916977</v>
      </c>
      <c r="L41" s="9">
        <f>1-_xlfn.POISSON.DIST(3,$B$1*(($J$57)*(1/3)),TRUE)</f>
        <v>0.23648467029798415</v>
      </c>
    </row>
    <row r="42" spans="1:12" x14ac:dyDescent="0.25">
      <c r="B42" s="7"/>
      <c r="C42" s="8"/>
      <c r="D42" s="8"/>
      <c r="E42" s="8"/>
      <c r="F42" s="8"/>
      <c r="H42" t="s">
        <v>36</v>
      </c>
      <c r="I42" s="9">
        <f>1-_xlfn.POISSON.DIST(0,$B$1*((($J$56)*(1/3))/((($J$56)*(2/3))+SUM($K$56:$K$56))),TRUE)</f>
        <v>0.96122143527094772</v>
      </c>
      <c r="J42" s="9">
        <f>1-_xlfn.POISSON.DIST(1,$B$1*((($J$56)*(1/3))/((($J$56)*(2/3))+SUM($K$56:$K$56))),TRUE)</f>
        <v>0.83519545704363207</v>
      </c>
      <c r="K42" s="9">
        <f>1-_xlfn.POISSON.DIST(2,$B$1*((($J$56)*(1/3))/((($J$56)*(2/3))+SUM($K$56:$K$56))),TRUE)</f>
        <v>0.63041032253538054</v>
      </c>
      <c r="L42" s="9">
        <f>1-_xlfn.POISSON.DIST(3,$B$1*((($J$56)*(1/3))/((($J$56)*(2/3))+SUM($K$56:$K$56))),TRUE)</f>
        <v>0.40856743000666684</v>
      </c>
    </row>
    <row r="43" spans="1:12" x14ac:dyDescent="0.25">
      <c r="B43" s="7"/>
      <c r="C43" s="8"/>
      <c r="D43" s="8"/>
      <c r="E43" s="8"/>
      <c r="F43" s="8"/>
      <c r="H43" t="s">
        <v>37</v>
      </c>
      <c r="I43" s="9">
        <f>1-_xlfn.POISSON.DIST(0,$B$1*((($J$56)*(1/3))/((($J$56)*(1/3))+SUM($K$56:$K$56))),TRUE)</f>
        <v>0.99127566772808939</v>
      </c>
      <c r="J43" s="9">
        <f>1-_xlfn.POISSON.DIST(1,$B$1*((($J$56)*(1/3))/((($J$56)*(1/3))+SUM($K$56:$K$56))),TRUE)</f>
        <v>0.94990803057518081</v>
      </c>
      <c r="K43" s="9">
        <f>1-_xlfn.POISSON.DIST(2,$B$1*((($J$56)*(1/3))/((($J$56)*(1/3))+SUM($K$56:$K$56))),TRUE)</f>
        <v>0.85183282262348181</v>
      </c>
      <c r="L43" s="9">
        <f>1-_xlfn.POISSON.DIST(3,$B$1*((($J$56)*(1/3))/((($J$56)*(1/3))+SUM($K$56:$K$56))),TRUE)</f>
        <v>0.69682040104998777</v>
      </c>
    </row>
    <row r="45" spans="1:12" x14ac:dyDescent="0.25">
      <c r="A45" t="s">
        <v>39</v>
      </c>
      <c r="B45" s="7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48</v>
      </c>
      <c r="K45" t="s">
        <v>49</v>
      </c>
    </row>
    <row r="46" spans="1:12" x14ac:dyDescent="0.25">
      <c r="B46" s="7" t="s">
        <v>50</v>
      </c>
      <c r="C46" s="7">
        <v>2025</v>
      </c>
      <c r="D46">
        <v>121</v>
      </c>
      <c r="E46">
        <v>115</v>
      </c>
      <c r="F46">
        <v>173</v>
      </c>
      <c r="G46">
        <v>43</v>
      </c>
      <c r="H46">
        <v>159</v>
      </c>
      <c r="I46">
        <v>164</v>
      </c>
      <c r="J46">
        <v>166</v>
      </c>
      <c r="K46">
        <v>104</v>
      </c>
    </row>
    <row r="47" spans="1:12" x14ac:dyDescent="0.25">
      <c r="B47" s="7" t="s">
        <v>50</v>
      </c>
      <c r="C47">
        <v>2024</v>
      </c>
      <c r="D47">
        <v>156</v>
      </c>
      <c r="E47">
        <v>167</v>
      </c>
      <c r="F47">
        <v>162</v>
      </c>
      <c r="G47">
        <v>33</v>
      </c>
      <c r="H47">
        <v>175</v>
      </c>
      <c r="I47">
        <v>170</v>
      </c>
      <c r="J47">
        <v>172</v>
      </c>
      <c r="K47">
        <v>80</v>
      </c>
    </row>
    <row r="48" spans="1:12" x14ac:dyDescent="0.25">
      <c r="B48" s="7" t="s">
        <v>50</v>
      </c>
      <c r="C48" s="7">
        <v>2023</v>
      </c>
      <c r="D48">
        <v>143</v>
      </c>
      <c r="E48">
        <v>177</v>
      </c>
      <c r="F48">
        <v>153</v>
      </c>
      <c r="G48">
        <v>44</v>
      </c>
      <c r="H48">
        <v>195</v>
      </c>
      <c r="I48">
        <v>227</v>
      </c>
      <c r="J48">
        <v>204</v>
      </c>
      <c r="K48">
        <v>103</v>
      </c>
    </row>
    <row r="49" spans="1:11" x14ac:dyDescent="0.25">
      <c r="B49" s="7" t="s">
        <v>50</v>
      </c>
      <c r="C49">
        <v>2022</v>
      </c>
      <c r="D49">
        <v>150</v>
      </c>
      <c r="E49">
        <v>161</v>
      </c>
      <c r="F49">
        <v>157</v>
      </c>
      <c r="G49">
        <v>34</v>
      </c>
      <c r="H49">
        <v>175</v>
      </c>
      <c r="I49">
        <v>190</v>
      </c>
      <c r="J49">
        <v>168</v>
      </c>
      <c r="K49">
        <v>49</v>
      </c>
    </row>
    <row r="50" spans="1:11" x14ac:dyDescent="0.25">
      <c r="B50" s="7" t="s">
        <v>50</v>
      </c>
      <c r="C50" s="7">
        <v>2021</v>
      </c>
      <c r="D50">
        <v>145</v>
      </c>
      <c r="E50">
        <v>147</v>
      </c>
      <c r="F50">
        <v>170</v>
      </c>
      <c r="G50">
        <v>22</v>
      </c>
      <c r="H50">
        <v>170</v>
      </c>
      <c r="I50">
        <v>176</v>
      </c>
      <c r="J50">
        <v>171</v>
      </c>
      <c r="K50">
        <v>70</v>
      </c>
    </row>
    <row r="51" spans="1:11" x14ac:dyDescent="0.25">
      <c r="B51" s="7" t="s">
        <v>50</v>
      </c>
      <c r="C51">
        <v>2020</v>
      </c>
      <c r="D51">
        <v>145</v>
      </c>
      <c r="E51">
        <v>151</v>
      </c>
      <c r="F51">
        <v>162</v>
      </c>
      <c r="G51">
        <v>25</v>
      </c>
      <c r="H51">
        <v>162</v>
      </c>
      <c r="I51">
        <v>162</v>
      </c>
      <c r="J51">
        <v>167</v>
      </c>
      <c r="K51">
        <v>50</v>
      </c>
    </row>
    <row r="52" spans="1:11" x14ac:dyDescent="0.25">
      <c r="B52" s="7" t="s">
        <v>50</v>
      </c>
      <c r="C52" s="7">
        <v>2019</v>
      </c>
      <c r="D52">
        <v>115</v>
      </c>
      <c r="E52">
        <v>158</v>
      </c>
      <c r="F52">
        <v>169</v>
      </c>
      <c r="G52">
        <v>33</v>
      </c>
      <c r="H52">
        <v>170</v>
      </c>
      <c r="I52">
        <v>166</v>
      </c>
      <c r="J52">
        <v>173</v>
      </c>
      <c r="K52">
        <v>50</v>
      </c>
    </row>
    <row r="53" spans="1:11" x14ac:dyDescent="0.25">
      <c r="B53" s="7" t="s">
        <v>50</v>
      </c>
      <c r="C53">
        <v>2018</v>
      </c>
      <c r="D53">
        <v>134</v>
      </c>
      <c r="E53">
        <v>172</v>
      </c>
      <c r="F53">
        <v>147</v>
      </c>
      <c r="G53">
        <v>23</v>
      </c>
      <c r="H53">
        <v>158</v>
      </c>
      <c r="I53">
        <v>185</v>
      </c>
      <c r="J53">
        <v>182</v>
      </c>
      <c r="K53">
        <v>71</v>
      </c>
    </row>
    <row r="54" spans="1:11" x14ac:dyDescent="0.25">
      <c r="B54" s="7" t="s">
        <v>50</v>
      </c>
      <c r="C54" s="7">
        <v>2017</v>
      </c>
      <c r="D54">
        <v>119</v>
      </c>
      <c r="E54">
        <v>148</v>
      </c>
      <c r="F54">
        <v>134</v>
      </c>
      <c r="G54">
        <v>26</v>
      </c>
      <c r="H54">
        <v>173</v>
      </c>
      <c r="I54">
        <v>189</v>
      </c>
      <c r="J54">
        <v>180</v>
      </c>
      <c r="K54">
        <v>49</v>
      </c>
    </row>
    <row r="55" spans="1:11" x14ac:dyDescent="0.25">
      <c r="B55" s="7" t="s">
        <v>50</v>
      </c>
      <c r="C55">
        <v>2016</v>
      </c>
      <c r="D55">
        <v>132</v>
      </c>
      <c r="E55">
        <v>134</v>
      </c>
      <c r="F55">
        <v>163</v>
      </c>
      <c r="G55">
        <v>33</v>
      </c>
      <c r="H55">
        <v>178</v>
      </c>
      <c r="I55">
        <v>176</v>
      </c>
      <c r="J55">
        <v>181</v>
      </c>
      <c r="K55">
        <v>67</v>
      </c>
    </row>
    <row r="56" spans="1:11" x14ac:dyDescent="0.25">
      <c r="B56" s="10" t="s">
        <v>51</v>
      </c>
      <c r="D56">
        <f>SUM(D46:D55)/SUM(D46:K55)</f>
        <v>0.12624152975030167</v>
      </c>
      <c r="E56">
        <f t="shared" ref="E56:K56" si="5">SUM(E46:E55)/SUM($D46:$K55)</f>
        <v>0.14202172096908938</v>
      </c>
      <c r="F56">
        <f t="shared" si="5"/>
        <v>0.14759120022277916</v>
      </c>
      <c r="G56">
        <f t="shared" si="5"/>
        <v>2.9332590736099506E-2</v>
      </c>
      <c r="H56">
        <f t="shared" si="5"/>
        <v>0.15919428200129954</v>
      </c>
      <c r="I56">
        <f t="shared" si="5"/>
        <v>0.16754850088183421</v>
      </c>
      <c r="J56">
        <f t="shared" si="5"/>
        <v>0.16374269005847952</v>
      </c>
      <c r="K56">
        <f t="shared" si="5"/>
        <v>6.4327485380116955E-2</v>
      </c>
    </row>
    <row r="57" spans="1:11" x14ac:dyDescent="0.25">
      <c r="B57" s="11" t="s">
        <v>52</v>
      </c>
      <c r="D57">
        <f>D56/(SUM(D56:$K56))</f>
        <v>0.12624152975030167</v>
      </c>
      <c r="E57">
        <f>E56/(SUM(E56:$K56))</f>
        <v>0.16254116647190056</v>
      </c>
      <c r="F57">
        <f>F56/(SUM(F56:$K56))</f>
        <v>0.20169986045921606</v>
      </c>
      <c r="G57">
        <f>G56/(SUM(G56:$K56))</f>
        <v>5.0214524074368341E-2</v>
      </c>
      <c r="H57">
        <f>H56/(SUM(H56:$K56))</f>
        <v>0.28693324410239246</v>
      </c>
      <c r="I57">
        <f>I56/(SUM(I56:$K56))</f>
        <v>0.42351008916001875</v>
      </c>
      <c r="J57">
        <f>J56/(SUM(J56:$K56))</f>
        <v>0.71794871794871795</v>
      </c>
      <c r="K57">
        <f>K56/(SUM(K56:$K56))</f>
        <v>1</v>
      </c>
    </row>
    <row r="59" spans="1:11" x14ac:dyDescent="0.25">
      <c r="A59" t="s">
        <v>53</v>
      </c>
      <c r="B59" s="7" t="s">
        <v>40</v>
      </c>
      <c r="C59" t="s">
        <v>41</v>
      </c>
      <c r="D59" t="s">
        <v>54</v>
      </c>
    </row>
    <row r="60" spans="1:11" x14ac:dyDescent="0.25">
      <c r="B60" s="7" t="s">
        <v>50</v>
      </c>
      <c r="C60" s="7">
        <v>2025</v>
      </c>
      <c r="D60" s="7">
        <v>9.968</v>
      </c>
    </row>
    <row r="61" spans="1:11" x14ac:dyDescent="0.25">
      <c r="B61" s="7" t="s">
        <v>50</v>
      </c>
      <c r="C61">
        <v>2024</v>
      </c>
      <c r="D61">
        <v>10.236842105263158</v>
      </c>
    </row>
    <row r="62" spans="1:11" x14ac:dyDescent="0.25">
      <c r="B62" s="7" t="s">
        <v>50</v>
      </c>
      <c r="C62" s="7">
        <v>2023</v>
      </c>
      <c r="D62">
        <v>10.81842105263158</v>
      </c>
    </row>
    <row r="63" spans="1:11" x14ac:dyDescent="0.25">
      <c r="B63" s="7" t="s">
        <v>50</v>
      </c>
      <c r="C63">
        <v>2022</v>
      </c>
      <c r="D63">
        <v>10.078947368421053</v>
      </c>
    </row>
    <row r="64" spans="1:11" x14ac:dyDescent="0.25">
      <c r="B64" s="7" t="s">
        <v>50</v>
      </c>
      <c r="C64" s="7">
        <v>2021</v>
      </c>
      <c r="D64">
        <v>10.402631578947368</v>
      </c>
    </row>
    <row r="65" spans="2:4" x14ac:dyDescent="0.25">
      <c r="B65" s="7" t="s">
        <v>50</v>
      </c>
      <c r="C65">
        <v>2020</v>
      </c>
      <c r="D65">
        <v>10.15</v>
      </c>
    </row>
    <row r="66" spans="2:4" x14ac:dyDescent="0.25">
      <c r="B66" s="7" t="s">
        <v>50</v>
      </c>
      <c r="C66" s="7">
        <v>2019</v>
      </c>
      <c r="D66">
        <v>10.7</v>
      </c>
    </row>
    <row r="67" spans="2:4" x14ac:dyDescent="0.25">
      <c r="B67" s="7" t="s">
        <v>50</v>
      </c>
      <c r="C67">
        <v>2018</v>
      </c>
      <c r="D67">
        <v>10.281578947368422</v>
      </c>
    </row>
    <row r="68" spans="2:4" x14ac:dyDescent="0.25">
      <c r="B68" s="7" t="s">
        <v>50</v>
      </c>
      <c r="C68" s="7">
        <v>2017</v>
      </c>
      <c r="D68">
        <v>10.292105263157895</v>
      </c>
    </row>
    <row r="69" spans="2:4" x14ac:dyDescent="0.25">
      <c r="B69" s="7" t="s">
        <v>50</v>
      </c>
      <c r="C69">
        <v>2016</v>
      </c>
      <c r="D69">
        <v>10.41578947368421</v>
      </c>
    </row>
    <row r="70" spans="2:4" x14ac:dyDescent="0.25">
      <c r="D70">
        <f>SUM(D60:D69)/COUNT(D60:D69)</f>
        <v>10.334431578947369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Corners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Abramenko</dc:creator>
  <cp:lastModifiedBy>Alexander Abramenko</cp:lastModifiedBy>
  <dcterms:created xsi:type="dcterms:W3CDTF">2026-08-27T22:40:23Z</dcterms:created>
  <dcterms:modified xsi:type="dcterms:W3CDTF">2026-08-27T22:40:46Z</dcterms:modified>
</cp:coreProperties>
</file>